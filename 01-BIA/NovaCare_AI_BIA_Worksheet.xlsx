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GRC Project 3 BIA-BCP\"/>
    </mc:Choice>
  </mc:AlternateContent>
  <xr:revisionPtr revIDLastSave="0" documentId="13_ncr:1_{57EF4E1F-D824-4772-A4D4-38773A2FC16E}" xr6:coauthVersionLast="47" xr6:coauthVersionMax="47" xr10:uidLastSave="{00000000-0000-0000-0000-000000000000}"/>
  <bookViews>
    <workbookView xWindow="-108" yWindow="-108" windowWidth="23256" windowHeight="12456" activeTab="3" xr2:uid="{082F097C-9F2C-4FC1-9567-7C2FAD24CE49}"/>
  </bookViews>
  <sheets>
    <sheet name="Process Register" sheetId="1" r:id="rId1"/>
    <sheet name="Impact Scoring" sheetId="2" r:id="rId2"/>
    <sheet name="RTO-RPO Matrix" sheetId="3" r:id="rId3"/>
    <sheet name="Dependency M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H9" i="2"/>
  <c r="H10" i="2"/>
  <c r="H11" i="2"/>
  <c r="H13" i="2"/>
  <c r="H12" i="2"/>
  <c r="H14" i="2"/>
  <c r="H15" i="2"/>
</calcChain>
</file>

<file path=xl/sharedStrings.xml><?xml version="1.0" encoding="utf-8"?>
<sst xmlns="http://schemas.openxmlformats.org/spreadsheetml/2006/main" count="242" uniqueCount="126">
  <si>
    <t>ID</t>
  </si>
  <si>
    <t>Process</t>
  </si>
  <si>
    <t>Owner</t>
  </si>
  <si>
    <t>Key Dependencies</t>
  </si>
  <si>
    <t>RTO</t>
  </si>
  <si>
    <t>RPO</t>
  </si>
  <si>
    <t>Priority</t>
  </si>
  <si>
    <t>Framework Ref</t>
  </si>
  <si>
    <t>P-01</t>
  </si>
  <si>
    <t>Patient Portal (PHI Access)</t>
  </si>
  <si>
    <t>Engineering, DevOps</t>
  </si>
  <si>
    <t>AWS RDS, API Gateway, S3</t>
  </si>
  <si>
    <t>1 hr</t>
  </si>
  <si>
    <t>15 min</t>
  </si>
  <si>
    <t>Critical</t>
  </si>
  <si>
    <t>HIPAA §164.312, ISO 22301 §8.3</t>
  </si>
  <si>
    <t>P-02</t>
  </si>
  <si>
    <t>Payment Processing</t>
  </si>
  <si>
    <t>Finance, Engineering</t>
  </si>
  <si>
    <t>Stripe, AWS Lambda</t>
  </si>
  <si>
    <t>2 hrs</t>
  </si>
  <si>
    <t>30 min</t>
  </si>
  <si>
    <t>PCI DSS Req 12.10, NIST CSF RC.RP</t>
  </si>
  <si>
    <t>P-03</t>
  </si>
  <si>
    <t>Clinical Data Pipeline</t>
  </si>
  <si>
    <t>Data, Engineering</t>
  </si>
  <si>
    <t>Kafka, Snowflake, AWS EMR</t>
  </si>
  <si>
    <t>4 hrs</t>
  </si>
  <si>
    <t>High</t>
  </si>
  <si>
    <t>HIPAA §164.308(a)(7), ISO 27001 A.17</t>
  </si>
  <si>
    <t>P-04</t>
  </si>
  <si>
    <t>Internal IT &amp; Auth</t>
  </si>
  <si>
    <t>IT, Security</t>
  </si>
  <si>
    <t>Okta, AWS IAM, Active Directory</t>
  </si>
  <si>
    <t>ISO 27001 A.9, NIST CSF PR.AC</t>
  </si>
  <si>
    <t>P-05</t>
  </si>
  <si>
    <t>Customer Support Platform</t>
  </si>
  <si>
    <t>Support, Product</t>
  </si>
  <si>
    <t>Zendesk, Salesforce</t>
  </si>
  <si>
    <t>8 hrs</t>
  </si>
  <si>
    <t>Medium</t>
  </si>
  <si>
    <t>SOC 2 CC7, ISO 22301 §8.4</t>
  </si>
  <si>
    <t>P-06</t>
  </si>
  <si>
    <t>HR &amp; Payroll</t>
  </si>
  <si>
    <t>HR, Finance</t>
  </si>
  <si>
    <t>Workday, ADP</t>
  </si>
  <si>
    <t>24 hrs</t>
  </si>
  <si>
    <t>Low</t>
  </si>
  <si>
    <t>ISO 22301 §8.2</t>
  </si>
  <si>
    <t>P-07</t>
  </si>
  <si>
    <t>Marketing &amp; Analytics</t>
  </si>
  <si>
    <t>Marketing</t>
  </si>
  <si>
    <t>HubSpot, GA4, Looker</t>
  </si>
  <si>
    <t>48 hrs</t>
  </si>
  <si>
    <t>Score</t>
  </si>
  <si>
    <t>Financial</t>
  </si>
  <si>
    <t>Reputational</t>
  </si>
  <si>
    <t>Regulatory</t>
  </si>
  <si>
    <t>Operational</t>
  </si>
  <si>
    <t>5 — Critical</t>
  </si>
  <si>
    <t>&gt;$1M/hr loss</t>
  </si>
  <si>
    <t>National media coverage</t>
  </si>
  <si>
    <t>OCR/FTC investigation</t>
  </si>
  <si>
    <t>Full service unavailability</t>
  </si>
  <si>
    <t>4 — High</t>
  </si>
  <si>
    <t>$500K–$1M/hr</t>
  </si>
  <si>
    <t>Industry press coverage</t>
  </si>
  <si>
    <t>Regulatory audit triggered</t>
  </si>
  <si>
    <t>Core feature unavailability</t>
  </si>
  <si>
    <t>3 — Medium</t>
  </si>
  <si>
    <t>$100K–$500K/hr</t>
  </si>
  <si>
    <t>Customer complaints viral</t>
  </si>
  <si>
    <t>Customer notification req.</t>
  </si>
  <si>
    <t>Degraded performance</t>
  </si>
  <si>
    <t>2 — Low</t>
  </si>
  <si>
    <t>$10K–$100K/hr</t>
  </si>
  <si>
    <t>Social media complaints</t>
  </si>
  <si>
    <t>Internal incident report</t>
  </si>
  <si>
    <t>Minor slowdowns</t>
  </si>
  <si>
    <t>1 — Minimal</t>
  </si>
  <si>
    <t>&lt;$10K/hr</t>
  </si>
  <si>
    <t>No external impact</t>
  </si>
  <si>
    <t>No regulatory trigger</t>
  </si>
  <si>
    <t>Negligible impact</t>
  </si>
  <si>
    <t>Patient Portal</t>
  </si>
  <si>
    <t>Weighted Score</t>
  </si>
  <si>
    <t>MTPD</t>
  </si>
  <si>
    <t>6 hrs</t>
  </si>
  <si>
    <t>12 hrs</t>
  </si>
  <si>
    <t>—</t>
  </si>
  <si>
    <t>Depends On</t>
  </si>
  <si>
    <t>Dependency Type</t>
  </si>
  <si>
    <t>Single Point of Failure?</t>
  </si>
  <si>
    <t>AWS RDS</t>
  </si>
  <si>
    <t>Database</t>
  </si>
  <si>
    <t>Yes</t>
  </si>
  <si>
    <t>API Gateway</t>
  </si>
  <si>
    <t>Infrastructure</t>
  </si>
  <si>
    <t>No</t>
  </si>
  <si>
    <t>S3</t>
  </si>
  <si>
    <t>Storage</t>
  </si>
  <si>
    <t>Stripe</t>
  </si>
  <si>
    <t>Third-party vendor</t>
  </si>
  <si>
    <t>AWS Lambda</t>
  </si>
  <si>
    <t>Compute</t>
  </si>
  <si>
    <t>Kafka</t>
  </si>
  <si>
    <t>Messaging</t>
  </si>
  <si>
    <t>Snowflake</t>
  </si>
  <si>
    <t>Data warehouse</t>
  </si>
  <si>
    <t>AWS EMR</t>
  </si>
  <si>
    <t>Okta</t>
  </si>
  <si>
    <t>Identity provider</t>
  </si>
  <si>
    <t>AWS IAM</t>
  </si>
  <si>
    <t>Identity/Access</t>
  </si>
  <si>
    <t>Active Directory</t>
  </si>
  <si>
    <t>Identity</t>
  </si>
  <si>
    <t>Zendesk</t>
  </si>
  <si>
    <t>Salesforce</t>
  </si>
  <si>
    <t>Workday</t>
  </si>
  <si>
    <t>ADP</t>
  </si>
  <si>
    <t>HubSpot</t>
  </si>
  <si>
    <t>GA4</t>
  </si>
  <si>
    <t>Analytics</t>
  </si>
  <si>
    <t>Looker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</si>
  <si>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MTPD (Maximum Tolerable Period of Disruption) per ISO 22301 §3.35 — defines the maximum time a business process can be disrupted before unacceptable consequences occur. Board-approved for Critical/High priority processes only.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</si>
  <si>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9 single points of failure identified across critical/high-priority processes — Okta, Stripe, Kafka, Snowflake, AWS RDS, Zendesk/Salesforce/Workday/ADP represent key third-party and infrastructure dependencies requiring redundancy or contractual SLA review.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</si>
</sst>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6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9D49-CC7E-468E-87E1-8645BD9D0E71}" name="Table1" displayName="Table1" ref="A1:H8" totalsRowShown="0" headerRowDxfId="51" dataDxfId="49" headerRowBorderDxfId="50" tableBorderDxfId="48" totalsRowBorderDxfId="47">
  <autoFilter ref="A1:H8" xr:uid="{86C79D49-CC7E-468E-87E1-8645BD9D0E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2C4904F-D296-409A-885C-651BD4D926BA}" name="ID" dataDxfId="46"/>
    <tableColumn id="2" xr3:uid="{E1881E02-F792-44E9-AD10-6678E0DCE0FC}" name="Process" dataDxfId="45"/>
    <tableColumn id="3" xr3:uid="{E824154B-FFF5-46FA-AC5F-DD6C621B5E24}" name="Owner" dataDxfId="44"/>
    <tableColumn id="4" xr3:uid="{AB446E42-31F0-40BF-84CA-EF64614F71CD}" name="Key Dependencies" dataDxfId="43"/>
    <tableColumn id="5" xr3:uid="{8BA3244B-C2A9-4094-8B59-607608E36F15}" name="RTO" dataDxfId="42"/>
    <tableColumn id="6" xr3:uid="{4C7FB385-A4EC-4E35-B7C7-2FFAFE4D1EA8}" name="RPO" dataDxfId="41"/>
    <tableColumn id="7" xr3:uid="{937BE4E2-4952-4209-B42C-3346438F2655}" name="Priority" dataDxfId="40"/>
    <tableColumn id="8" xr3:uid="{C3DDC893-604D-499A-BFCB-AD1572C71073}" name="Framework Ref" dataDxfId="3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9E5369-5A02-402B-B17F-188AA9E0A526}" name="Table3" displayName="Table3" ref="A8:H15" totalsRowShown="0" headerRowDxfId="38" dataDxfId="36" headerRowBorderDxfId="37" tableBorderDxfId="35" totalsRowBorderDxfId="34">
  <autoFilter ref="A8:H15" xr:uid="{5E9E5369-5A02-402B-B17F-188AA9E0A5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0DD9FD7-70B9-4EC4-B400-283BF1C12F04}" name="ID" dataDxfId="33"/>
    <tableColumn id="2" xr3:uid="{3F48275F-B08B-430D-997F-4B2922F51CD4}" name="Process" dataDxfId="32"/>
    <tableColumn id="3" xr3:uid="{E70BB6F6-481B-44C4-A741-4617C4C2735A}" name="Financial" dataDxfId="31"/>
    <tableColumn id="4" xr3:uid="{C0F7AAAE-2B44-427E-BCD6-57E3122E025B}" name="Reputational" dataDxfId="30"/>
    <tableColumn id="5" xr3:uid="{0791E976-8B2D-464E-9D7F-7E3E21EFF5E1}" name="Regulatory" dataDxfId="29"/>
    <tableColumn id="6" xr3:uid="{A115F403-8754-4D91-AF50-5C1D859A0A70}" name="Operational" dataDxfId="28"/>
    <tableColumn id="7" xr3:uid="{5E96CD34-CEAF-4523-8449-E40DD698FCDB}" name="Weighted Score" dataDxfId="27">
      <calculatedColumnFormula>(C9*0.35)+(D9*0.25)+(E9*0.3)+(F9*0.1)</calculatedColumnFormula>
    </tableColumn>
    <tableColumn id="8" xr3:uid="{2FBF9C35-F509-4521-8DFE-F01C58646420}" name="Priority" dataDxfId="26">
      <calculatedColumnFormula>IF(G10&gt;=4,"Critical",IF(G10&gt;=3,"High",IF(G10&gt;=2,"Medium","Low")))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E469CD-8862-42C8-8300-66070832F696}" name="Table4" displayName="Table4" ref="A1:E6" totalsRowShown="0" headerRowDxfId="25" dataDxfId="23" headerRowBorderDxfId="24" tableBorderDxfId="22" totalsRowBorderDxfId="21">
  <autoFilter ref="A1:E6" xr:uid="{A8E469CD-8862-42C8-8300-66070832F69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72B299C-69B0-42D1-83A3-7AC8BD8ECDED}" name="Score" dataDxfId="20"/>
    <tableColumn id="2" xr3:uid="{4E09C95F-4F3C-4233-9D8F-776F7E0487F6}" name="Financial" dataDxfId="19"/>
    <tableColumn id="3" xr3:uid="{1A319BCF-457C-4066-B40B-8C5BD9E06022}" name="Reputational" dataDxfId="18"/>
    <tableColumn id="4" xr3:uid="{E02B54DD-99B0-4195-9D26-FEAF7AA2524A}" name="Regulatory" dataDxfId="17"/>
    <tableColumn id="5" xr3:uid="{5C485076-546B-43CB-AA33-011AEC8C0ABE}" name="Operational" dataDxfId="16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0BD66-DAFE-4101-93F3-E32133B2E5AF}" name="Table2" displayName="Table2" ref="A1:F8" totalsRowShown="0" headerRowDxfId="15" dataDxfId="13" headerRowBorderDxfId="14" tableBorderDxfId="12" totalsRowBorderDxfId="11">
  <autoFilter ref="A1:F8" xr:uid="{39B0BD66-DAFE-4101-93F3-E32133B2E5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CF2DCE6-860B-4E60-B8DC-05F31C662705}" name="ID" dataDxfId="10"/>
    <tableColumn id="2" xr3:uid="{FF38F330-0081-40A6-883B-A749656C91C2}" name="Process" dataDxfId="9"/>
    <tableColumn id="3" xr3:uid="{C7F100AF-4788-472A-A6E0-57A814B4EFD5}" name="RTO" dataDxfId="8"/>
    <tableColumn id="4" xr3:uid="{015DF378-2A16-4744-A351-8A700DF7E40B}" name="RPO" dataDxfId="7"/>
    <tableColumn id="5" xr3:uid="{208A4545-AADC-4D22-AB12-3B4ADABDAE6C}" name="MTPD" dataDxfId="6"/>
    <tableColumn id="6" xr3:uid="{B223F2B2-1029-44E6-A8F8-9151BB7FC360}" name="Priority" dataDxfId="5"/>
  </tableColumns>
  <tableStyleInfo name="TableStyleLight2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35494E-9ECB-4FCD-A5FD-C506519B2C1D}" name="Table5" displayName="Table5" ref="A1:D19" totalsRowShown="0" headerRowDxfId="60" dataDxfId="58" headerRowBorderDxfId="59" tableBorderDxfId="57" totalsRowBorderDxfId="56">
  <autoFilter ref="A1:D19" xr:uid="{BD35494E-9ECB-4FCD-A5FD-C506519B2C1D}">
    <filterColumn colId="0" hiddenButton="1"/>
    <filterColumn colId="1" hiddenButton="1"/>
    <filterColumn colId="2" hiddenButton="1"/>
    <filterColumn colId="3" hiddenButton="1"/>
  </autoFilter>
  <tableColumns count="4">
    <tableColumn id="1" xr3:uid="{AFE8A405-23D5-4D25-A523-F73E914F000C}" name="Process" dataDxfId="55"/>
    <tableColumn id="2" xr3:uid="{553B13ED-F8FE-4CD3-8B6D-DB92166DD6F6}" name="Depends On" dataDxfId="54"/>
    <tableColumn id="3" xr3:uid="{790E2E5B-D40C-4258-AC62-0D23D71EDC2E}" name="Dependency Type" dataDxfId="53"/>
    <tableColumn id="4" xr3:uid="{A71093E6-3420-4BFA-BE55-CCCFD7D3181A}" name="Single Point of Failure?" dataDxfId="5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990-C4FC-472E-BC69-65C3DE5657B8}">
  <dimension ref="A1:H8"/>
  <sheetViews>
    <sheetView workbookViewId="0">
      <selection activeCell="I8" sqref="I8"/>
    </sheetView>
  </sheetViews>
  <sheetFormatPr defaultRowHeight="14.4" x14ac:dyDescent="0.3"/>
  <cols>
    <col min="1" max="1" width="11.33203125" customWidth="1"/>
    <col min="2" max="2" width="23.109375" customWidth="1"/>
    <col min="3" max="3" width="22.5546875" customWidth="1"/>
    <col min="4" max="4" width="23.5546875" customWidth="1"/>
    <col min="5" max="5" width="15.109375" customWidth="1"/>
    <col min="6" max="6" width="15.6640625" customWidth="1"/>
    <col min="7" max="7" width="18" customWidth="1"/>
    <col min="8" max="8" width="30.441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10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5" t="s">
        <v>10</v>
      </c>
      <c r="D2" s="11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8" x14ac:dyDescent="0.3">
      <c r="A3" s="4" t="s">
        <v>16</v>
      </c>
      <c r="B3" s="5" t="s">
        <v>17</v>
      </c>
      <c r="C3" s="5" t="s">
        <v>18</v>
      </c>
      <c r="D3" s="11" t="s">
        <v>19</v>
      </c>
      <c r="E3" s="5" t="s">
        <v>20</v>
      </c>
      <c r="F3" s="5" t="s">
        <v>21</v>
      </c>
      <c r="G3" s="5" t="s">
        <v>14</v>
      </c>
      <c r="H3" s="6" t="s">
        <v>22</v>
      </c>
    </row>
    <row r="4" spans="1:8" ht="28.8" x14ac:dyDescent="0.3">
      <c r="A4" s="4" t="s">
        <v>23</v>
      </c>
      <c r="B4" s="5" t="s">
        <v>24</v>
      </c>
      <c r="C4" s="5" t="s">
        <v>25</v>
      </c>
      <c r="D4" s="11" t="s">
        <v>26</v>
      </c>
      <c r="E4" s="5" t="s">
        <v>27</v>
      </c>
      <c r="F4" s="5" t="s">
        <v>12</v>
      </c>
      <c r="G4" s="5" t="s">
        <v>28</v>
      </c>
      <c r="H4" s="6" t="s">
        <v>29</v>
      </c>
    </row>
    <row r="5" spans="1:8" x14ac:dyDescent="0.3">
      <c r="A5" s="4" t="s">
        <v>30</v>
      </c>
      <c r="B5" s="5" t="s">
        <v>31</v>
      </c>
      <c r="C5" s="5" t="s">
        <v>32</v>
      </c>
      <c r="D5" s="11" t="s">
        <v>33</v>
      </c>
      <c r="E5" s="5" t="s">
        <v>27</v>
      </c>
      <c r="F5" s="5" t="s">
        <v>12</v>
      </c>
      <c r="G5" s="5" t="s">
        <v>28</v>
      </c>
      <c r="H5" s="6" t="s">
        <v>34</v>
      </c>
    </row>
    <row r="6" spans="1:8" ht="28.8" x14ac:dyDescent="0.3">
      <c r="A6" s="4" t="s">
        <v>35</v>
      </c>
      <c r="B6" s="5" t="s">
        <v>36</v>
      </c>
      <c r="C6" s="5" t="s">
        <v>37</v>
      </c>
      <c r="D6" s="11" t="s">
        <v>38</v>
      </c>
      <c r="E6" s="5" t="s">
        <v>39</v>
      </c>
      <c r="F6" s="5" t="s">
        <v>27</v>
      </c>
      <c r="G6" s="5" t="s">
        <v>40</v>
      </c>
      <c r="H6" s="6" t="s">
        <v>41</v>
      </c>
    </row>
    <row r="7" spans="1:8" x14ac:dyDescent="0.3">
      <c r="A7" s="4" t="s">
        <v>42</v>
      </c>
      <c r="B7" s="5" t="s">
        <v>43</v>
      </c>
      <c r="C7" s="5" t="s">
        <v>44</v>
      </c>
      <c r="D7" s="11" t="s">
        <v>45</v>
      </c>
      <c r="E7" s="5" t="s">
        <v>46</v>
      </c>
      <c r="F7" s="5" t="s">
        <v>39</v>
      </c>
      <c r="G7" s="5" t="s">
        <v>47</v>
      </c>
      <c r="H7" s="6" t="s">
        <v>48</v>
      </c>
    </row>
    <row r="8" spans="1:8" x14ac:dyDescent="0.3">
      <c r="A8" s="7" t="s">
        <v>49</v>
      </c>
      <c r="B8" s="8" t="s">
        <v>50</v>
      </c>
      <c r="C8" s="8" t="s">
        <v>51</v>
      </c>
      <c r="D8" s="12" t="s">
        <v>52</v>
      </c>
      <c r="E8" s="8" t="s">
        <v>53</v>
      </c>
      <c r="F8" s="8" t="s">
        <v>46</v>
      </c>
      <c r="G8" s="8" t="s">
        <v>47</v>
      </c>
      <c r="H8" s="9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3D63-CD9B-4083-BAF6-DCBFF2557DB8}">
  <dimension ref="A1:H15"/>
  <sheetViews>
    <sheetView topLeftCell="A6" zoomScaleNormal="100" workbookViewId="0">
      <selection activeCell="H15" sqref="H15"/>
    </sheetView>
  </sheetViews>
  <sheetFormatPr defaultRowHeight="14.4" x14ac:dyDescent="0.3"/>
  <cols>
    <col min="1" max="1" width="19.5546875" customWidth="1"/>
    <col min="2" max="2" width="23.88671875" customWidth="1"/>
    <col min="3" max="3" width="21.21875" customWidth="1"/>
    <col min="4" max="4" width="24.6640625" customWidth="1"/>
    <col min="5" max="5" width="23.5546875" customWidth="1"/>
    <col min="6" max="6" width="21.6640625" customWidth="1"/>
    <col min="7" max="7" width="17.77734375" customWidth="1"/>
    <col min="8" max="8" width="17.5546875" customWidth="1"/>
  </cols>
  <sheetData>
    <row r="1" spans="1:8" ht="28.8" x14ac:dyDescent="0.3">
      <c r="A1" s="1" t="s">
        <v>54</v>
      </c>
      <c r="B1" s="2" t="s">
        <v>55</v>
      </c>
      <c r="C1" s="2" t="s">
        <v>56</v>
      </c>
      <c r="D1" s="2" t="s">
        <v>57</v>
      </c>
      <c r="E1" s="3" t="s">
        <v>58</v>
      </c>
    </row>
    <row r="2" spans="1:8" ht="31.2" x14ac:dyDescent="0.3">
      <c r="A2" s="15" t="s">
        <v>59</v>
      </c>
      <c r="B2" s="14" t="s">
        <v>60</v>
      </c>
      <c r="C2" s="14" t="s">
        <v>61</v>
      </c>
      <c r="D2" s="14" t="s">
        <v>62</v>
      </c>
      <c r="E2" s="16" t="s">
        <v>63</v>
      </c>
    </row>
    <row r="3" spans="1:8" ht="31.2" x14ac:dyDescent="0.3">
      <c r="A3" s="15" t="s">
        <v>64</v>
      </c>
      <c r="B3" s="14" t="s">
        <v>65</v>
      </c>
      <c r="C3" s="14" t="s">
        <v>66</v>
      </c>
      <c r="D3" s="14" t="s">
        <v>67</v>
      </c>
      <c r="E3" s="16" t="s">
        <v>68</v>
      </c>
    </row>
    <row r="4" spans="1:8" ht="31.2" x14ac:dyDescent="0.3">
      <c r="A4" s="15" t="s">
        <v>69</v>
      </c>
      <c r="B4" s="14" t="s">
        <v>70</v>
      </c>
      <c r="C4" s="14" t="s">
        <v>71</v>
      </c>
      <c r="D4" s="14" t="s">
        <v>72</v>
      </c>
      <c r="E4" s="16" t="s">
        <v>73</v>
      </c>
    </row>
    <row r="5" spans="1:8" ht="31.2" x14ac:dyDescent="0.3">
      <c r="A5" s="15" t="s">
        <v>74</v>
      </c>
      <c r="B5" s="14" t="s">
        <v>75</v>
      </c>
      <c r="C5" s="14" t="s">
        <v>76</v>
      </c>
      <c r="D5" s="14" t="s">
        <v>77</v>
      </c>
      <c r="E5" s="16" t="s">
        <v>78</v>
      </c>
    </row>
    <row r="6" spans="1:8" ht="15.6" x14ac:dyDescent="0.3">
      <c r="A6" s="17" t="s">
        <v>79</v>
      </c>
      <c r="B6" s="18" t="s">
        <v>80</v>
      </c>
      <c r="C6" s="18" t="s">
        <v>81</v>
      </c>
      <c r="D6" s="18" t="s">
        <v>82</v>
      </c>
      <c r="E6" s="19" t="s">
        <v>83</v>
      </c>
    </row>
    <row r="8" spans="1:8" x14ac:dyDescent="0.3">
      <c r="A8" s="1" t="s">
        <v>0</v>
      </c>
      <c r="B8" s="2" t="s">
        <v>1</v>
      </c>
      <c r="C8" s="2" t="s">
        <v>55</v>
      </c>
      <c r="D8" s="2" t="s">
        <v>56</v>
      </c>
      <c r="E8" s="2" t="s">
        <v>57</v>
      </c>
      <c r="F8" s="3" t="s">
        <v>58</v>
      </c>
      <c r="G8" s="2" t="s">
        <v>85</v>
      </c>
      <c r="H8" s="2" t="s">
        <v>6</v>
      </c>
    </row>
    <row r="9" spans="1:8" ht="29.4" customHeight="1" x14ac:dyDescent="0.3">
      <c r="A9" s="4" t="s">
        <v>8</v>
      </c>
      <c r="B9" s="5" t="s">
        <v>84</v>
      </c>
      <c r="C9" s="5">
        <v>5</v>
      </c>
      <c r="D9" s="5">
        <v>4</v>
      </c>
      <c r="E9" s="5">
        <v>5</v>
      </c>
      <c r="F9" s="6">
        <v>5</v>
      </c>
      <c r="G9" s="13">
        <f>(C9*0.35)+(D9*0.25)+(E9*0.3)+(F9*0.1)</f>
        <v>4.75</v>
      </c>
      <c r="H9" s="23" t="str">
        <f t="shared" ref="H9:H15" si="0">IF(G10&gt;=4,"Critical",IF(G10&gt;=3,"High",IF(G10&gt;=2,"Medium","Low")))</f>
        <v>Critical</v>
      </c>
    </row>
    <row r="10" spans="1:8" ht="29.4" customHeight="1" x14ac:dyDescent="0.3">
      <c r="A10" s="4" t="s">
        <v>16</v>
      </c>
      <c r="B10" s="5" t="s">
        <v>17</v>
      </c>
      <c r="C10" s="5">
        <v>4</v>
      </c>
      <c r="D10" s="5">
        <v>4</v>
      </c>
      <c r="E10" s="5">
        <v>5</v>
      </c>
      <c r="F10" s="6">
        <v>4</v>
      </c>
      <c r="G10" s="13">
        <f t="shared" ref="G10:G15" si="1">(C10*0.35)+(D10*0.25)+(E10*0.3)+(F10*0.1)</f>
        <v>4.3</v>
      </c>
      <c r="H10" s="20" t="str">
        <f t="shared" si="0"/>
        <v>High</v>
      </c>
    </row>
    <row r="11" spans="1:8" ht="29.4" customHeight="1" x14ac:dyDescent="0.3">
      <c r="A11" s="4" t="s">
        <v>23</v>
      </c>
      <c r="B11" s="5" t="s">
        <v>24</v>
      </c>
      <c r="C11" s="5">
        <v>3</v>
      </c>
      <c r="D11" s="5">
        <v>3</v>
      </c>
      <c r="E11" s="5">
        <v>4</v>
      </c>
      <c r="F11" s="6">
        <v>4</v>
      </c>
      <c r="G11" s="13">
        <f t="shared" si="1"/>
        <v>3.4</v>
      </c>
      <c r="H11" s="22" t="str">
        <f t="shared" si="0"/>
        <v>Medium</v>
      </c>
    </row>
    <row r="12" spans="1:8" ht="23.4" customHeight="1" x14ac:dyDescent="0.3">
      <c r="A12" s="4" t="s">
        <v>30</v>
      </c>
      <c r="B12" s="5" t="s">
        <v>31</v>
      </c>
      <c r="C12" s="5">
        <v>3</v>
      </c>
      <c r="D12" s="5">
        <v>2</v>
      </c>
      <c r="E12" s="5">
        <v>3</v>
      </c>
      <c r="F12" s="6">
        <v>4</v>
      </c>
      <c r="G12" s="13">
        <f t="shared" si="1"/>
        <v>2.8499999999999996</v>
      </c>
      <c r="H12" s="22" t="str">
        <f t="shared" si="0"/>
        <v>Medium</v>
      </c>
    </row>
    <row r="13" spans="1:8" ht="45.6" customHeight="1" x14ac:dyDescent="0.3">
      <c r="A13" s="4" t="s">
        <v>35</v>
      </c>
      <c r="B13" s="5" t="s">
        <v>36</v>
      </c>
      <c r="C13" s="5">
        <v>2</v>
      </c>
      <c r="D13" s="5">
        <v>3</v>
      </c>
      <c r="E13" s="5">
        <v>2</v>
      </c>
      <c r="F13" s="6">
        <v>3</v>
      </c>
      <c r="G13" s="13">
        <f t="shared" si="1"/>
        <v>2.3499999999999996</v>
      </c>
      <c r="H13" s="20" t="str">
        <f t="shared" si="0"/>
        <v>Low</v>
      </c>
    </row>
    <row r="14" spans="1:8" ht="26.4" customHeight="1" x14ac:dyDescent="0.3">
      <c r="A14" s="4" t="s">
        <v>42</v>
      </c>
      <c r="B14" s="5" t="s">
        <v>43</v>
      </c>
      <c r="C14" s="5">
        <v>2</v>
      </c>
      <c r="D14" s="5">
        <v>1</v>
      </c>
      <c r="E14" s="5">
        <v>2</v>
      </c>
      <c r="F14" s="6">
        <v>2</v>
      </c>
      <c r="G14" s="13">
        <f t="shared" si="1"/>
        <v>1.7499999999999998</v>
      </c>
      <c r="H14" s="20" t="str">
        <f t="shared" si="0"/>
        <v>Low</v>
      </c>
    </row>
    <row r="15" spans="1:8" ht="33" customHeight="1" x14ac:dyDescent="0.3">
      <c r="A15" s="7" t="s">
        <v>49</v>
      </c>
      <c r="B15" s="8" t="s">
        <v>50</v>
      </c>
      <c r="C15" s="8">
        <v>1</v>
      </c>
      <c r="D15" s="8">
        <v>2</v>
      </c>
      <c r="E15" s="8">
        <v>1</v>
      </c>
      <c r="F15" s="9">
        <v>1</v>
      </c>
      <c r="G15" s="13">
        <f t="shared" si="1"/>
        <v>1.25</v>
      </c>
      <c r="H15" s="21" t="str">
        <f t="shared" si="0"/>
        <v>Low</v>
      </c>
    </row>
  </sheetData>
  <phoneticPr fontId="3" type="noConversion"/>
  <conditionalFormatting sqref="H9:H15">
    <cfRule type="containsText" dxfId="4" priority="1" operator="containsText" text="Low">
      <formula>NOT(ISERROR(SEARCH("Low",H9)))</formula>
    </cfRule>
    <cfRule type="containsText" dxfId="3" priority="4" operator="containsText" text="High">
      <formula>NOT(ISERROR(SEARCH("High",H9)))</formula>
    </cfRule>
    <cfRule type="containsText" dxfId="2" priority="5" operator="containsText" text="Critical">
      <formula>NOT(ISERROR(SEARCH("Critical",H9)))</formula>
    </cfRule>
  </conditionalFormatting>
  <conditionalFormatting sqref="H11:H12">
    <cfRule type="containsText" dxfId="1" priority="2" operator="containsText" text="Medium">
      <formula>NOT(ISERROR(SEARCH("Medium",H11)))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0472-C035-4173-B62D-6EBB916BA032}">
  <dimension ref="A1:F12"/>
  <sheetViews>
    <sheetView workbookViewId="0">
      <selection activeCell="A10" sqref="A10:F12"/>
    </sheetView>
  </sheetViews>
  <sheetFormatPr defaultRowHeight="14.4" x14ac:dyDescent="0.3"/>
  <cols>
    <col min="1" max="1" width="10.6640625" customWidth="1"/>
    <col min="2" max="2" width="28.44140625" customWidth="1"/>
    <col min="3" max="3" width="13.88671875" customWidth="1"/>
    <col min="4" max="4" width="15.109375" customWidth="1"/>
    <col min="5" max="5" width="14.44140625" customWidth="1"/>
    <col min="6" max="6" width="15.88671875" customWidth="1"/>
  </cols>
  <sheetData>
    <row r="1" spans="1:6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86</v>
      </c>
      <c r="F1" s="3" t="s">
        <v>6</v>
      </c>
    </row>
    <row r="2" spans="1:6" ht="31.2" customHeight="1" x14ac:dyDescent="0.3">
      <c r="A2" s="4" t="s">
        <v>8</v>
      </c>
      <c r="B2" s="5" t="s">
        <v>84</v>
      </c>
      <c r="C2" s="5" t="s">
        <v>12</v>
      </c>
      <c r="D2" s="5" t="s">
        <v>13</v>
      </c>
      <c r="E2" s="5" t="s">
        <v>27</v>
      </c>
      <c r="F2" s="6" t="s">
        <v>14</v>
      </c>
    </row>
    <row r="3" spans="1:6" ht="27.6" customHeight="1" x14ac:dyDescent="0.3">
      <c r="A3" s="4" t="s">
        <v>16</v>
      </c>
      <c r="B3" s="5" t="s">
        <v>17</v>
      </c>
      <c r="C3" s="5" t="s">
        <v>20</v>
      </c>
      <c r="D3" s="5" t="s">
        <v>21</v>
      </c>
      <c r="E3" s="5" t="s">
        <v>87</v>
      </c>
      <c r="F3" s="6" t="s">
        <v>14</v>
      </c>
    </row>
    <row r="4" spans="1:6" ht="30.6" customHeight="1" x14ac:dyDescent="0.3">
      <c r="A4" s="4" t="s">
        <v>23</v>
      </c>
      <c r="B4" s="5" t="s">
        <v>24</v>
      </c>
      <c r="C4" s="5" t="s">
        <v>27</v>
      </c>
      <c r="D4" s="5" t="s">
        <v>12</v>
      </c>
      <c r="E4" s="5" t="s">
        <v>88</v>
      </c>
      <c r="F4" s="6" t="s">
        <v>28</v>
      </c>
    </row>
    <row r="5" spans="1:6" ht="28.8" customHeight="1" x14ac:dyDescent="0.3">
      <c r="A5" s="4" t="s">
        <v>30</v>
      </c>
      <c r="B5" s="5" t="s">
        <v>31</v>
      </c>
      <c r="C5" s="5" t="s">
        <v>27</v>
      </c>
      <c r="D5" s="5" t="s">
        <v>12</v>
      </c>
      <c r="E5" s="5" t="s">
        <v>39</v>
      </c>
      <c r="F5" s="6" t="s">
        <v>28</v>
      </c>
    </row>
    <row r="6" spans="1:6" x14ac:dyDescent="0.3">
      <c r="A6" s="4" t="s">
        <v>35</v>
      </c>
      <c r="B6" s="5" t="s">
        <v>36</v>
      </c>
      <c r="C6" s="5" t="s">
        <v>39</v>
      </c>
      <c r="D6" s="5" t="s">
        <v>27</v>
      </c>
      <c r="E6" s="5" t="s">
        <v>89</v>
      </c>
      <c r="F6" s="6" t="s">
        <v>40</v>
      </c>
    </row>
    <row r="7" spans="1:6" ht="28.2" customHeight="1" x14ac:dyDescent="0.3">
      <c r="A7" s="4" t="s">
        <v>42</v>
      </c>
      <c r="B7" s="5" t="s">
        <v>43</v>
      </c>
      <c r="C7" s="5" t="s">
        <v>46</v>
      </c>
      <c r="D7" s="5" t="s">
        <v>39</v>
      </c>
      <c r="E7" s="5" t="s">
        <v>89</v>
      </c>
      <c r="F7" s="6" t="s">
        <v>47</v>
      </c>
    </row>
    <row r="8" spans="1:6" ht="29.4" customHeight="1" x14ac:dyDescent="0.3">
      <c r="A8" s="7" t="s">
        <v>49</v>
      </c>
      <c r="B8" s="8" t="s">
        <v>50</v>
      </c>
      <c r="C8" s="8" t="s">
        <v>53</v>
      </c>
      <c r="D8" s="8" t="s">
        <v>46</v>
      </c>
      <c r="E8" s="8" t="s">
        <v>89</v>
      </c>
      <c r="F8" s="9" t="s">
        <v>47</v>
      </c>
    </row>
    <row r="10" spans="1:6" x14ac:dyDescent="0.3">
      <c r="A10" s="26" t="s">
        <v>124</v>
      </c>
      <c r="B10" s="26"/>
      <c r="C10" s="26"/>
      <c r="D10" s="26"/>
      <c r="E10" s="26"/>
      <c r="F10" s="26"/>
    </row>
    <row r="11" spans="1:6" x14ac:dyDescent="0.3">
      <c r="A11" s="26"/>
      <c r="B11" s="26"/>
      <c r="C11" s="26"/>
      <c r="D11" s="26"/>
      <c r="E11" s="26"/>
      <c r="F11" s="26"/>
    </row>
    <row r="12" spans="1:6" x14ac:dyDescent="0.3">
      <c r="A12" s="26"/>
      <c r="B12" s="26"/>
      <c r="C12" s="26"/>
      <c r="D12" s="26"/>
      <c r="E12" s="26"/>
      <c r="F12" s="26"/>
    </row>
  </sheetData>
  <mergeCells count="1">
    <mergeCell ref="A10:F1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E337-1575-4512-A757-CCECC05E48FB}">
  <dimension ref="A1:D23"/>
  <sheetViews>
    <sheetView tabSelected="1" workbookViewId="0"/>
  </sheetViews>
  <sheetFormatPr defaultRowHeight="14.4" x14ac:dyDescent="0.3"/>
  <cols>
    <col min="1" max="1" width="25.109375" customWidth="1"/>
    <col min="2" max="2" width="23.77734375" customWidth="1"/>
    <col min="3" max="3" width="25.21875" customWidth="1"/>
    <col min="4" max="4" width="26" customWidth="1"/>
  </cols>
  <sheetData>
    <row r="1" spans="1:4" x14ac:dyDescent="0.3">
      <c r="A1" s="1" t="s">
        <v>1</v>
      </c>
      <c r="B1" s="2" t="s">
        <v>90</v>
      </c>
      <c r="C1" s="2" t="s">
        <v>91</v>
      </c>
      <c r="D1" s="3" t="s">
        <v>92</v>
      </c>
    </row>
    <row r="2" spans="1:4" x14ac:dyDescent="0.3">
      <c r="A2" s="4" t="s">
        <v>84</v>
      </c>
      <c r="B2" s="5" t="s">
        <v>93</v>
      </c>
      <c r="C2" s="5" t="s">
        <v>94</v>
      </c>
      <c r="D2" s="24" t="s">
        <v>95</v>
      </c>
    </row>
    <row r="3" spans="1:4" ht="21" customHeight="1" x14ac:dyDescent="0.3">
      <c r="A3" s="4" t="s">
        <v>84</v>
      </c>
      <c r="B3" s="5" t="s">
        <v>96</v>
      </c>
      <c r="C3" s="5" t="s">
        <v>97</v>
      </c>
      <c r="D3" s="6" t="s">
        <v>98</v>
      </c>
    </row>
    <row r="4" spans="1:4" ht="15" customHeight="1" x14ac:dyDescent="0.3">
      <c r="A4" s="4" t="s">
        <v>84</v>
      </c>
      <c r="B4" s="5" t="s">
        <v>99</v>
      </c>
      <c r="C4" s="5" t="s">
        <v>100</v>
      </c>
      <c r="D4" s="6" t="s">
        <v>98</v>
      </c>
    </row>
    <row r="5" spans="1:4" x14ac:dyDescent="0.3">
      <c r="A5" s="4" t="s">
        <v>17</v>
      </c>
      <c r="B5" s="5" t="s">
        <v>101</v>
      </c>
      <c r="C5" s="5" t="s">
        <v>102</v>
      </c>
      <c r="D5" s="24" t="s">
        <v>95</v>
      </c>
    </row>
    <row r="6" spans="1:4" ht="27.6" customHeight="1" x14ac:dyDescent="0.3">
      <c r="A6" s="4" t="s">
        <v>17</v>
      </c>
      <c r="B6" s="5" t="s">
        <v>103</v>
      </c>
      <c r="C6" s="5" t="s">
        <v>104</v>
      </c>
      <c r="D6" s="6" t="s">
        <v>98</v>
      </c>
    </row>
    <row r="7" spans="1:4" ht="22.8" customHeight="1" x14ac:dyDescent="0.3">
      <c r="A7" s="4" t="s">
        <v>24</v>
      </c>
      <c r="B7" s="5" t="s">
        <v>105</v>
      </c>
      <c r="C7" s="5" t="s">
        <v>106</v>
      </c>
      <c r="D7" s="24" t="s">
        <v>95</v>
      </c>
    </row>
    <row r="8" spans="1:4" ht="19.8" customHeight="1" x14ac:dyDescent="0.3">
      <c r="A8" s="4" t="s">
        <v>24</v>
      </c>
      <c r="B8" s="5" t="s">
        <v>107</v>
      </c>
      <c r="C8" s="5" t="s">
        <v>108</v>
      </c>
      <c r="D8" s="24" t="s">
        <v>95</v>
      </c>
    </row>
    <row r="9" spans="1:4" ht="18" customHeight="1" x14ac:dyDescent="0.3">
      <c r="A9" s="4" t="s">
        <v>24</v>
      </c>
      <c r="B9" s="5" t="s">
        <v>109</v>
      </c>
      <c r="C9" s="5" t="s">
        <v>104</v>
      </c>
      <c r="D9" s="6" t="s">
        <v>98</v>
      </c>
    </row>
    <row r="10" spans="1:4" x14ac:dyDescent="0.3">
      <c r="A10" s="4" t="s">
        <v>31</v>
      </c>
      <c r="B10" s="5" t="s">
        <v>110</v>
      </c>
      <c r="C10" s="5" t="s">
        <v>111</v>
      </c>
      <c r="D10" s="24" t="s">
        <v>95</v>
      </c>
    </row>
    <row r="11" spans="1:4" ht="13.2" customHeight="1" x14ac:dyDescent="0.3">
      <c r="A11" s="4" t="s">
        <v>31</v>
      </c>
      <c r="B11" s="5" t="s">
        <v>112</v>
      </c>
      <c r="C11" s="5" t="s">
        <v>113</v>
      </c>
      <c r="D11" s="6" t="s">
        <v>98</v>
      </c>
    </row>
    <row r="12" spans="1:4" ht="15.6" customHeight="1" x14ac:dyDescent="0.3">
      <c r="A12" s="4" t="s">
        <v>31</v>
      </c>
      <c r="B12" s="5" t="s">
        <v>114</v>
      </c>
      <c r="C12" s="5" t="s">
        <v>115</v>
      </c>
      <c r="D12" s="6" t="s">
        <v>98</v>
      </c>
    </row>
    <row r="13" spans="1:4" x14ac:dyDescent="0.3">
      <c r="A13" s="4" t="s">
        <v>36</v>
      </c>
      <c r="B13" s="5" t="s">
        <v>116</v>
      </c>
      <c r="C13" s="5" t="s">
        <v>102</v>
      </c>
      <c r="D13" s="24" t="s">
        <v>95</v>
      </c>
    </row>
    <row r="14" spans="1:4" x14ac:dyDescent="0.3">
      <c r="A14" s="4" t="s">
        <v>36</v>
      </c>
      <c r="B14" s="5" t="s">
        <v>117</v>
      </c>
      <c r="C14" s="5" t="s">
        <v>102</v>
      </c>
      <c r="D14" s="24" t="s">
        <v>95</v>
      </c>
    </row>
    <row r="15" spans="1:4" x14ac:dyDescent="0.3">
      <c r="A15" s="4" t="s">
        <v>43</v>
      </c>
      <c r="B15" s="5" t="s">
        <v>118</v>
      </c>
      <c r="C15" s="5" t="s">
        <v>102</v>
      </c>
      <c r="D15" s="24" t="s">
        <v>95</v>
      </c>
    </row>
    <row r="16" spans="1:4" x14ac:dyDescent="0.3">
      <c r="A16" s="4" t="s">
        <v>43</v>
      </c>
      <c r="B16" s="5" t="s">
        <v>119</v>
      </c>
      <c r="C16" s="5" t="s">
        <v>102</v>
      </c>
      <c r="D16" s="24" t="s">
        <v>95</v>
      </c>
    </row>
    <row r="17" spans="1:4" ht="21.6" customHeight="1" x14ac:dyDescent="0.3">
      <c r="A17" s="4" t="s">
        <v>50</v>
      </c>
      <c r="B17" s="5" t="s">
        <v>120</v>
      </c>
      <c r="C17" s="5" t="s">
        <v>102</v>
      </c>
      <c r="D17" s="6" t="s">
        <v>98</v>
      </c>
    </row>
    <row r="18" spans="1:4" ht="18" customHeight="1" x14ac:dyDescent="0.3">
      <c r="A18" s="4" t="s">
        <v>50</v>
      </c>
      <c r="B18" s="5" t="s">
        <v>121</v>
      </c>
      <c r="C18" s="5" t="s">
        <v>122</v>
      </c>
      <c r="D18" s="6" t="s">
        <v>98</v>
      </c>
    </row>
    <row r="19" spans="1:4" ht="22.2" customHeight="1" x14ac:dyDescent="0.3">
      <c r="A19" s="7" t="s">
        <v>50</v>
      </c>
      <c r="B19" s="8" t="s">
        <v>123</v>
      </c>
      <c r="C19" s="8" t="s">
        <v>122</v>
      </c>
      <c r="D19" s="9" t="s">
        <v>98</v>
      </c>
    </row>
    <row r="21" spans="1:4" x14ac:dyDescent="0.3">
      <c r="A21" s="25" t="s">
        <v>125</v>
      </c>
      <c r="B21" s="25"/>
      <c r="C21" s="25"/>
      <c r="D21" s="25"/>
    </row>
    <row r="22" spans="1:4" x14ac:dyDescent="0.3">
      <c r="A22" s="25"/>
      <c r="B22" s="25"/>
      <c r="C22" s="25"/>
      <c r="D22" s="25"/>
    </row>
    <row r="23" spans="1:4" x14ac:dyDescent="0.3">
      <c r="A23" s="25"/>
      <c r="B23" s="25"/>
      <c r="C23" s="25"/>
      <c r="D23" s="25"/>
    </row>
  </sheetData>
  <mergeCells count="1">
    <mergeCell ref="A21:D23"/>
  </mergeCells>
  <conditionalFormatting sqref="A1:D19">
    <cfRule type="containsText" dxfId="0" priority="1" operator="containsText" text="Yes">
      <formula>NOT(ISERROR(SEARCH("Yes",A1)))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Register</vt:lpstr>
      <vt:lpstr>Impact Scoring</vt:lpstr>
      <vt:lpstr>RTO-RPO Matrix</vt:lpstr>
      <vt:lpstr>Dependency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Patil</dc:creator>
  <cp:lastModifiedBy>Ninad Patil</cp:lastModifiedBy>
  <dcterms:created xsi:type="dcterms:W3CDTF">2026-06-28T12:22:14Z</dcterms:created>
  <dcterms:modified xsi:type="dcterms:W3CDTF">2026-07-04T07:43:22Z</dcterms:modified>
</cp:coreProperties>
</file>